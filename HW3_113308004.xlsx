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計概TA\1011\"/>
    </mc:Choice>
  </mc:AlternateContent>
  <xr:revisionPtr revIDLastSave="155" documentId="8_{9E71D5AD-7738-440F-B6EB-CB38D6E1B778}" xr6:coauthVersionLast="47" xr6:coauthVersionMax="47" xr10:uidLastSave="{B7B9BE56-BE7E-4D41-B3E0-2816DD0762A1}"/>
  <bookViews>
    <workbookView xWindow="-108" yWindow="-108" windowWidth="23256" windowHeight="12456" xr2:uid="{60C2E2F6-AD98-4042-9BF5-DA3DB7B4AD4C}"/>
  </bookViews>
  <sheets>
    <sheet name="工作表1" sheetId="1" r:id="rId1"/>
  </sheets>
  <definedNames>
    <definedName name="_xlnm._FilterDatabase" localSheetId="0" hidden="1">工作表1!$A$1:$L$16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7" i="1" l="1"/>
  <c r="H17" i="1"/>
  <c r="L18" i="1"/>
  <c r="L17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D17" i="1"/>
  <c r="C17" i="1"/>
  <c r="K3" i="1" a="1"/>
  <c r="K3" i="1"/>
  <c r="K4" i="1" a="1"/>
  <c r="K4" i="1"/>
  <c r="K5" i="1" a="1"/>
  <c r="K5" i="1"/>
  <c r="K6" i="1" a="1"/>
  <c r="K6" i="1"/>
  <c r="K7" i="1" a="1"/>
  <c r="K7" i="1"/>
  <c r="K8" i="1" a="1"/>
  <c r="K8" i="1"/>
  <c r="K9" i="1" a="1"/>
  <c r="K9" i="1"/>
  <c r="K10" i="1" a="1"/>
  <c r="K10" i="1"/>
  <c r="K11" i="1" a="1"/>
  <c r="K11" i="1"/>
  <c r="K12" i="1" a="1"/>
  <c r="K12" i="1"/>
  <c r="K13" i="1" a="1"/>
  <c r="K13" i="1"/>
  <c r="K14" i="1" a="1"/>
  <c r="K14" i="1"/>
  <c r="K15" i="1" a="1"/>
  <c r="K15" i="1"/>
  <c r="K2" i="1" a="1"/>
  <c r="K2" i="1"/>
  <c r="J2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<sst xmlns="http://schemas.openxmlformats.org/spreadsheetml/2006/main" count="34" uniqueCount="34">
  <si>
    <t>number</t>
    <phoneticPr fontId="2" type="noConversion"/>
  </si>
  <si>
    <t>name</t>
    <phoneticPr fontId="2" type="noConversion"/>
  </si>
  <si>
    <t>Exam1</t>
    <phoneticPr fontId="2" type="noConversion"/>
  </si>
  <si>
    <t>Exam2</t>
    <phoneticPr fontId="2" type="noConversion"/>
  </si>
  <si>
    <t>Exam3</t>
    <phoneticPr fontId="2" type="noConversion"/>
  </si>
  <si>
    <t>Exam4</t>
    <phoneticPr fontId="2" type="noConversion"/>
  </si>
  <si>
    <t>Exam5</t>
    <phoneticPr fontId="2" type="noConversion"/>
  </si>
  <si>
    <t>Q1: Exam_Average</t>
    <phoneticPr fontId="2" type="noConversion"/>
  </si>
  <si>
    <t>Midterm</t>
    <phoneticPr fontId="2" type="noConversion"/>
  </si>
  <si>
    <t>Q2: overall score</t>
    <phoneticPr fontId="2" type="noConversion"/>
  </si>
  <si>
    <t>Q3</t>
    <phoneticPr fontId="2" type="noConversion"/>
  </si>
  <si>
    <t>Q4</t>
    <phoneticPr fontId="2" type="noConversion"/>
  </si>
  <si>
    <t>何大美</t>
  </si>
  <si>
    <t>陳慢慢</t>
  </si>
  <si>
    <t>黃阿坤</t>
  </si>
  <si>
    <t>李大仁</t>
  </si>
  <si>
    <t>陳小奇</t>
  </si>
  <si>
    <t>羅小花</t>
  </si>
  <si>
    <t>李小君</t>
  </si>
  <si>
    <t>李大輝</t>
  </si>
  <si>
    <t>白阿國</t>
  </si>
  <si>
    <t>王小明</t>
  </si>
  <si>
    <t>李大月</t>
  </si>
  <si>
    <t>林大義</t>
  </si>
  <si>
    <t>宋小倫</t>
  </si>
  <si>
    <t>許亮亮</t>
  </si>
  <si>
    <r>
      <t xml:space="preserve">Q6 answer </t>
    </r>
    <r>
      <rPr>
        <sz val="12"/>
        <color theme="1"/>
        <rFont val="Wingdings"/>
        <charset val="2"/>
      </rPr>
      <t>ò</t>
    </r>
    <phoneticPr fontId="2" type="noConversion"/>
  </si>
  <si>
    <r>
      <t xml:space="preserve">Q7 answer </t>
    </r>
    <r>
      <rPr>
        <sz val="12"/>
        <color theme="1"/>
        <rFont val="Wingdings"/>
        <charset val="2"/>
      </rPr>
      <t>ò</t>
    </r>
    <phoneticPr fontId="2" type="noConversion"/>
  </si>
  <si>
    <r>
      <t xml:space="preserve">Q8 answer </t>
    </r>
    <r>
      <rPr>
        <sz val="12"/>
        <color theme="1"/>
        <rFont val="Wingdings"/>
        <charset val="2"/>
      </rPr>
      <t>ò</t>
    </r>
    <phoneticPr fontId="2" type="noConversion"/>
  </si>
  <si>
    <r>
      <t xml:space="preserve">Q5 answer </t>
    </r>
    <r>
      <rPr>
        <sz val="12"/>
        <color theme="1"/>
        <rFont val="Wingdings"/>
        <charset val="2"/>
      </rPr>
      <t>ò</t>
    </r>
    <phoneticPr fontId="2" type="noConversion"/>
  </si>
  <si>
    <r>
      <t xml:space="preserve">Q10 answer </t>
    </r>
    <r>
      <rPr>
        <sz val="12"/>
        <color theme="1"/>
        <rFont val="Wingdings"/>
        <charset val="2"/>
      </rPr>
      <t>ò</t>
    </r>
    <phoneticPr fontId="2" type="noConversion"/>
  </si>
  <si>
    <t>pass</t>
  </si>
  <si>
    <t>fail</t>
  </si>
  <si>
    <r>
      <t xml:space="preserve">Q9 answer </t>
    </r>
    <r>
      <rPr>
        <sz val="12"/>
        <color theme="1"/>
        <rFont val="Wingdings"/>
        <charset val="2"/>
      </rPr>
      <t>ò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</si>
</sst>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新細明體"/>
      <family val="2"/>
      <charset val="136"/>
      <scheme val="minor"/>
    </font>
    <font>
      <sz val="12"/>
      <color theme="1"/>
      <name val="PMingLiu"/>
      <family val="1"/>
      <charset val="136"/>
    </font>
    <font>
      <sz val="9"/>
      <name val="新細明體"/>
      <family val="2"/>
      <charset val="136"/>
      <scheme val="minor"/>
    </font>
    <font>
      <sz val="12"/>
      <color rgb="FF000000"/>
      <name val="PMingLiu"/>
      <family val="1"/>
      <charset val="136"/>
    </font>
    <font>
      <sz val="12"/>
      <color theme="1"/>
      <name val="Wingdings"/>
      <charset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0" fillId="2" borderId="0" xfId="0" applyFill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一般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The students' overall scores</a:t>
            </a:r>
          </a:p>
        </c:rich>
      </c:tx>
      <c:layout>
        <c:manualLayout>
          <c:xMode val="edge"/>
          <c:yMode val="edge"/>
          <c:x val="0.29680558098687065"/>
          <c:y val="3.81944868299696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overall score</c:v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工作表1!$B$2:$B$15</c:f>
              <c:strCache>
                <c:ptCount val="14"/>
                <c:pt idx="0">
                  <c:v>何大美</c:v>
                </c:pt>
                <c:pt idx="1">
                  <c:v>陳慢慢</c:v>
                </c:pt>
                <c:pt idx="2">
                  <c:v>黃阿坤</c:v>
                </c:pt>
                <c:pt idx="3">
                  <c:v>李大仁</c:v>
                </c:pt>
                <c:pt idx="4">
                  <c:v>陳小奇</c:v>
                </c:pt>
                <c:pt idx="5">
                  <c:v>羅小花</c:v>
                </c:pt>
                <c:pt idx="6">
                  <c:v>李小君</c:v>
                </c:pt>
                <c:pt idx="7">
                  <c:v>李大輝</c:v>
                </c:pt>
                <c:pt idx="8">
                  <c:v>白阿國</c:v>
                </c:pt>
                <c:pt idx="9">
                  <c:v>王小明</c:v>
                </c:pt>
                <c:pt idx="10">
                  <c:v>李大月</c:v>
                </c:pt>
                <c:pt idx="11">
                  <c:v>林大義</c:v>
                </c:pt>
                <c:pt idx="12">
                  <c:v>宋小倫</c:v>
                </c:pt>
                <c:pt idx="13">
                  <c:v>許亮亮</c:v>
                </c:pt>
              </c:strCache>
            </c:strRef>
          </c:cat>
          <c:val>
            <c:numRef>
              <c:f>工作表1!$J$2:$J$15</c:f>
              <c:numCache>
                <c:formatCode>General</c:formatCode>
                <c:ptCount val="14"/>
                <c:pt idx="0">
                  <c:v>91.7</c:v>
                </c:pt>
                <c:pt idx="1">
                  <c:v>90</c:v>
                </c:pt>
                <c:pt idx="2">
                  <c:v>81.2</c:v>
                </c:pt>
                <c:pt idx="3">
                  <c:v>80.800000000000011</c:v>
                </c:pt>
                <c:pt idx="4">
                  <c:v>84.7</c:v>
                </c:pt>
                <c:pt idx="5">
                  <c:v>80.800000000000011</c:v>
                </c:pt>
                <c:pt idx="6">
                  <c:v>77.900000000000006</c:v>
                </c:pt>
                <c:pt idx="7">
                  <c:v>74.2</c:v>
                </c:pt>
                <c:pt idx="8">
                  <c:v>75.2</c:v>
                </c:pt>
                <c:pt idx="9">
                  <c:v>77.599999999999994</c:v>
                </c:pt>
                <c:pt idx="10">
                  <c:v>80.599999999999994</c:v>
                </c:pt>
                <c:pt idx="11">
                  <c:v>59</c:v>
                </c:pt>
                <c:pt idx="12">
                  <c:v>66.900000000000006</c:v>
                </c:pt>
                <c:pt idx="13">
                  <c:v>55.6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62-41E9-A090-331D85C57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6463111"/>
        <c:axId val="59188231"/>
      </c:barChart>
      <c:catAx>
        <c:axId val="1356463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188231"/>
        <c:crosses val="autoZero"/>
        <c:auto val="1"/>
        <c:lblAlgn val="ctr"/>
        <c:lblOffset val="100"/>
        <c:noMultiLvlLbl val="0"/>
      </c:catAx>
      <c:valAx>
        <c:axId val="59188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6463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4467240431844823"/>
          <c:y val="0.88854120463106789"/>
          <c:w val="0.18827252843394576"/>
          <c:h val="7.8125546806649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The "pass" and "fail" grades of the students' overall score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637CE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0-84BF-4B8C-AE6F-7CDF07E12E18}"/>
              </c:ext>
            </c:extLst>
          </c:dPt>
          <c:dPt>
            <c:idx val="1"/>
            <c:bubble3D val="0"/>
            <c:spPr>
              <a:solidFill>
                <a:srgbClr val="E3008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4BF-4B8C-AE6F-7CDF07E12E18}"/>
              </c:ext>
            </c:extLst>
          </c:dPt>
          <c:dLbls>
            <c:dLbl>
              <c:idx val="0"/>
              <c:layout>
                <c:manualLayout>
                  <c:x val="7.7200517816284925E-2"/>
                  <c:y val="-8.482615787108956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4BF-4B8C-AE6F-7CDF07E12E18}"/>
                </c:ext>
              </c:extLst>
            </c:dLbl>
            <c:dLbl>
              <c:idx val="1"/>
              <c:layout>
                <c:manualLayout>
                  <c:x val="-2.8243934264228936E-2"/>
                  <c:y val="1.5267613105851799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4BF-4B8C-AE6F-7CDF07E12E1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工作表1!$K$17:$K$18</c:f>
              <c:strCache>
                <c:ptCount val="2"/>
                <c:pt idx="0">
                  <c:v>pass</c:v>
                </c:pt>
                <c:pt idx="1">
                  <c:v>fail</c:v>
                </c:pt>
              </c:strCache>
            </c:strRef>
          </c:cat>
          <c:val>
            <c:numRef>
              <c:f>工作表1!$L$17:$L$18</c:f>
              <c:numCache>
                <c:formatCode>General</c:formatCode>
                <c:ptCount val="2"/>
                <c:pt idx="0">
                  <c:v>12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EA-4882-B7F5-155FD2150B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676275</xdr:colOff>
      <xdr:row>24</xdr:row>
      <xdr:rowOff>0</xdr:rowOff>
    </xdr:from>
    <xdr:to>
      <xdr:col>10</xdr:col>
      <xdr:colOff>1819275</xdr:colOff>
      <xdr:row>38</xdr:row>
      <xdr:rowOff>171450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FC640CCF-450D-3439-EA57-478F63854D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18</xdr:row>
      <xdr:rowOff>9525</xdr:rowOff>
    </xdr:from>
    <xdr:to>
      <xdr:col>16</xdr:col>
      <xdr:colOff>76200</xdr:colOff>
      <xdr:row>32</xdr:row>
      <xdr:rowOff>85725</xdr:rowOff>
    </xdr:to>
    <xdr:graphicFrame macro="">
      <xdr:nvGraphicFramePr>
        <xdr:cNvPr id="12" name="圖表 11">
          <a:extLst>
            <a:ext uri="{FF2B5EF4-FFF2-40B4-BE49-F238E27FC236}">
              <a16:creationId xmlns:a16="http://schemas.microsoft.com/office/drawing/2014/main" id="{D46A09FD-DA24-C318-4084-A9A2866CDFFF}"/>
            </a:ext>
            <a:ext uri="{147F2762-F138-4A5C-976F-8EAC2B608ADB}">
              <a16:predDERef xmlns:a16="http://schemas.microsoft.com/office/drawing/2014/main" pred="{FC640CCF-450D-3439-EA57-478F63854D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1FA0D-67BD-4FEB-B956-7740A55D5973}">
  <dimension ref="A1:L24"/>
  <sheetViews>
    <sheetView tabSelected="1" workbookViewId="0">
      <selection activeCell="B2" sqref="B2:B15"/>
    </sheetView>
  </sheetViews>
  <sheetFormatPr defaultRowHeight="15" customHeight="1"/>
  <cols>
    <col min="3" max="4" width="13" bestFit="1" customWidth="1"/>
    <col min="8" max="8" width="18.625" bestFit="1" customWidth="1"/>
    <col min="10" max="10" width="36" bestFit="1" customWidth="1"/>
    <col min="11" max="11" width="24.25" customWidth="1"/>
    <col min="12" max="12" width="23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1" t="s">
        <v>8</v>
      </c>
      <c r="J1" s="3" t="s">
        <v>9</v>
      </c>
      <c r="K1" s="3" t="s">
        <v>10</v>
      </c>
      <c r="L1" s="3" t="s">
        <v>11</v>
      </c>
    </row>
    <row r="2" spans="1:12">
      <c r="A2" s="1">
        <v>4</v>
      </c>
      <c r="B2" s="1" t="s">
        <v>12</v>
      </c>
      <c r="C2" s="1">
        <v>98</v>
      </c>
      <c r="D2" s="1">
        <v>90</v>
      </c>
      <c r="E2" s="1">
        <v>95</v>
      </c>
      <c r="F2" s="1">
        <v>94</v>
      </c>
      <c r="G2" s="1">
        <v>95</v>
      </c>
      <c r="H2" s="1">
        <f>AVERAGE(C2:G2)</f>
        <v>94.4</v>
      </c>
      <c r="I2" s="1">
        <v>89</v>
      </c>
      <c r="J2" s="5">
        <f xml:space="preserve"> SUM(C2:G2)*10% + I2*50%</f>
        <v>91.7</v>
      </c>
      <c r="K2" s="6" t="str" cm="1">
        <f t="array" ref="K2">_xlfn.IFS(I2 &gt;= 90,"A",I2 &gt;= 80,"B",I2 &gt;= 70,"C",I2 &gt;= 60,"D",I2 &lt; 60,"F")</f>
        <v>B</v>
      </c>
      <c r="L2" t="str">
        <f>IF(I2 &gt;= 60,"pass","fail")</f>
        <v>pass</v>
      </c>
    </row>
    <row r="3" spans="1:12">
      <c r="A3" s="1">
        <v>3</v>
      </c>
      <c r="B3" s="1" t="s">
        <v>13</v>
      </c>
      <c r="C3" s="1">
        <v>88</v>
      </c>
      <c r="D3" s="1">
        <v>96</v>
      </c>
      <c r="E3" s="1">
        <v>79</v>
      </c>
      <c r="F3" s="1">
        <v>82</v>
      </c>
      <c r="G3" s="1">
        <v>85</v>
      </c>
      <c r="H3" s="1">
        <f t="shared" ref="H3:H15" si="0">AVERAGE(C3:G3)</f>
        <v>86</v>
      </c>
      <c r="I3" s="1">
        <v>94</v>
      </c>
      <c r="J3" s="5">
        <f t="shared" ref="J3:J15" si="1" xml:space="preserve"> SUM(C3:G3)*10% + I3*50%</f>
        <v>90</v>
      </c>
      <c r="K3" s="6" t="str" cm="1">
        <f t="array" ref="K3">_xlfn.IFS(I3 &gt;= 90,"A",I3 &gt;= 80,"B",I3 &gt;= 70,"C",I3 &gt;= 60,"D",I3 &lt; 60,"F")</f>
        <v>A</v>
      </c>
      <c r="L3" t="str">
        <f t="shared" ref="L3:L15" si="2">IF(I3 &gt;= 60,"pass","fail")</f>
        <v>pass</v>
      </c>
    </row>
    <row r="4" spans="1:12">
      <c r="A4" s="1">
        <v>10</v>
      </c>
      <c r="B4" s="1" t="s">
        <v>14</v>
      </c>
      <c r="C4" s="1">
        <v>90</v>
      </c>
      <c r="D4" s="1">
        <v>64</v>
      </c>
      <c r="E4" s="1">
        <v>91</v>
      </c>
      <c r="F4" s="1">
        <v>82</v>
      </c>
      <c r="G4" s="1">
        <v>85</v>
      </c>
      <c r="H4" s="1">
        <f t="shared" si="0"/>
        <v>82.4</v>
      </c>
      <c r="I4" s="1">
        <v>80</v>
      </c>
      <c r="J4" s="5">
        <f t="shared" si="1"/>
        <v>81.2</v>
      </c>
      <c r="K4" s="6" t="str" cm="1">
        <f t="array" ref="K4">_xlfn.IFS(I4 &gt;= 90,"A",I4 &gt;= 80,"B",I4 &gt;= 70,"C",I4 &gt;= 60,"D",I4 &lt; 60,"F")</f>
        <v>B</v>
      </c>
      <c r="L4" t="str">
        <f t="shared" si="2"/>
        <v>pass</v>
      </c>
    </row>
    <row r="5" spans="1:12">
      <c r="A5" s="1">
        <v>6</v>
      </c>
      <c r="B5" s="1" t="s">
        <v>15</v>
      </c>
      <c r="C5" s="1">
        <v>67</v>
      </c>
      <c r="D5" s="1">
        <v>79</v>
      </c>
      <c r="E5" s="1">
        <v>82</v>
      </c>
      <c r="F5" s="1">
        <v>85</v>
      </c>
      <c r="G5" s="1">
        <v>95</v>
      </c>
      <c r="H5" s="1">
        <f t="shared" si="0"/>
        <v>81.599999999999994</v>
      </c>
      <c r="I5" s="1">
        <v>80</v>
      </c>
      <c r="J5" s="5">
        <f t="shared" si="1"/>
        <v>80.800000000000011</v>
      </c>
      <c r="K5" s="6" t="str" cm="1">
        <f t="array" ref="K5">_xlfn.IFS(I5 &gt;= 90,"A",I5 &gt;= 80,"B",I5 &gt;= 70,"C",I5 &gt;= 60,"D",I5 &lt; 60,"F")</f>
        <v>B</v>
      </c>
      <c r="L5" t="str">
        <f t="shared" si="2"/>
        <v>pass</v>
      </c>
    </row>
    <row r="6" spans="1:12">
      <c r="A6" s="1">
        <v>2</v>
      </c>
      <c r="B6" s="1" t="s">
        <v>16</v>
      </c>
      <c r="C6" s="1">
        <v>78</v>
      </c>
      <c r="D6" s="1">
        <v>89</v>
      </c>
      <c r="E6" s="1">
        <v>90</v>
      </c>
      <c r="F6" s="1">
        <v>77</v>
      </c>
      <c r="G6" s="1">
        <v>73</v>
      </c>
      <c r="H6" s="1">
        <f t="shared" si="0"/>
        <v>81.400000000000006</v>
      </c>
      <c r="I6" s="1">
        <v>88</v>
      </c>
      <c r="J6" s="5">
        <f t="shared" si="1"/>
        <v>84.7</v>
      </c>
      <c r="K6" s="6" t="str" cm="1">
        <f t="array" ref="K6">_xlfn.IFS(I6 &gt;= 90,"A",I6 &gt;= 80,"B",I6 &gt;= 70,"C",I6 &gt;= 60,"D",I6 &lt; 60,"F")</f>
        <v>B</v>
      </c>
      <c r="L6" t="str">
        <f t="shared" si="2"/>
        <v>pass</v>
      </c>
    </row>
    <row r="7" spans="1:12">
      <c r="A7" s="1">
        <v>5</v>
      </c>
      <c r="B7" s="1" t="s">
        <v>17</v>
      </c>
      <c r="C7" s="1">
        <v>87</v>
      </c>
      <c r="D7" s="1">
        <v>76</v>
      </c>
      <c r="E7" s="1">
        <v>78</v>
      </c>
      <c r="F7" s="1">
        <v>82</v>
      </c>
      <c r="G7" s="1">
        <v>80</v>
      </c>
      <c r="H7" s="1">
        <f t="shared" si="0"/>
        <v>80.599999999999994</v>
      </c>
      <c r="I7" s="1">
        <v>81</v>
      </c>
      <c r="J7" s="5">
        <f t="shared" si="1"/>
        <v>80.800000000000011</v>
      </c>
      <c r="K7" s="6" t="str" cm="1">
        <f t="array" ref="K7">_xlfn.IFS(I7 &gt;= 90,"A",I7 &gt;= 80,"B",I7 &gt;= 70,"C",I7 &gt;= 60,"D",I7 &lt; 60,"F")</f>
        <v>B</v>
      </c>
      <c r="L7" t="str">
        <f t="shared" si="2"/>
        <v>pass</v>
      </c>
    </row>
    <row r="8" spans="1:12">
      <c r="A8" s="1">
        <v>7</v>
      </c>
      <c r="B8" s="1" t="s">
        <v>18</v>
      </c>
      <c r="C8" s="1">
        <v>77</v>
      </c>
      <c r="D8" s="1">
        <v>80</v>
      </c>
      <c r="E8" s="1">
        <v>63</v>
      </c>
      <c r="F8" s="1">
        <v>85</v>
      </c>
      <c r="G8" s="1">
        <v>89</v>
      </c>
      <c r="H8" s="1">
        <f t="shared" si="0"/>
        <v>78.8</v>
      </c>
      <c r="I8" s="1">
        <v>77</v>
      </c>
      <c r="J8" s="5">
        <f t="shared" si="1"/>
        <v>77.900000000000006</v>
      </c>
      <c r="K8" s="6" t="str" cm="1">
        <f t="array" ref="K8">_xlfn.IFS(I8 &gt;= 90,"A",I8 &gt;= 80,"B",I8 &gt;= 70,"C",I8 &gt;= 60,"D",I8 &lt; 60,"F")</f>
        <v>C</v>
      </c>
      <c r="L8" t="str">
        <f t="shared" si="2"/>
        <v>pass</v>
      </c>
    </row>
    <row r="9" spans="1:12">
      <c r="A9" s="1">
        <v>9</v>
      </c>
      <c r="B9" s="1" t="s">
        <v>19</v>
      </c>
      <c r="C9" s="1">
        <v>86</v>
      </c>
      <c r="D9" s="1">
        <v>92</v>
      </c>
      <c r="E9" s="1">
        <v>79</v>
      </c>
      <c r="F9" s="1">
        <v>73</v>
      </c>
      <c r="G9" s="1">
        <v>47</v>
      </c>
      <c r="H9" s="1">
        <f t="shared" si="0"/>
        <v>75.400000000000006</v>
      </c>
      <c r="I9" s="1">
        <v>73</v>
      </c>
      <c r="J9" s="5">
        <f t="shared" si="1"/>
        <v>74.2</v>
      </c>
      <c r="K9" s="6" t="str" cm="1">
        <f t="array" ref="K9">_xlfn.IFS(I9 &gt;= 90,"A",I9 &gt;= 80,"B",I9 &gt;= 70,"C",I9 &gt;= 60,"D",I9 &lt; 60,"F")</f>
        <v>C</v>
      </c>
      <c r="L9" t="str">
        <f t="shared" si="2"/>
        <v>pass</v>
      </c>
    </row>
    <row r="10" spans="1:12">
      <c r="A10" s="1">
        <v>13</v>
      </c>
      <c r="B10" s="1" t="s">
        <v>20</v>
      </c>
      <c r="C10" s="1">
        <v>67</v>
      </c>
      <c r="D10" s="1">
        <v>88</v>
      </c>
      <c r="E10" s="1">
        <v>71</v>
      </c>
      <c r="F10" s="1">
        <v>44</v>
      </c>
      <c r="G10" s="1">
        <v>97</v>
      </c>
      <c r="H10" s="1">
        <f t="shared" si="0"/>
        <v>73.400000000000006</v>
      </c>
      <c r="I10" s="1">
        <v>77</v>
      </c>
      <c r="J10" s="5">
        <f t="shared" si="1"/>
        <v>75.2</v>
      </c>
      <c r="K10" s="6" t="str" cm="1">
        <f t="array" ref="K10">_xlfn.IFS(I10 &gt;= 90,"A",I10 &gt;= 80,"B",I10 &gt;= 70,"C",I10 &gt;= 60,"D",I10 &lt; 60,"F")</f>
        <v>C</v>
      </c>
      <c r="L10" t="str">
        <f t="shared" si="2"/>
        <v>pass</v>
      </c>
    </row>
    <row r="11" spans="1:12">
      <c r="A11" s="1">
        <v>1</v>
      </c>
      <c r="B11" s="1" t="s">
        <v>21</v>
      </c>
      <c r="C11" s="1">
        <v>65</v>
      </c>
      <c r="D11" s="1">
        <v>54</v>
      </c>
      <c r="E11" s="1">
        <v>88</v>
      </c>
      <c r="F11" s="1">
        <v>92</v>
      </c>
      <c r="G11" s="1">
        <v>67</v>
      </c>
      <c r="H11" s="1">
        <f t="shared" si="0"/>
        <v>73.2</v>
      </c>
      <c r="I11" s="1">
        <v>82</v>
      </c>
      <c r="J11" s="5">
        <f t="shared" si="1"/>
        <v>77.599999999999994</v>
      </c>
      <c r="K11" s="6" t="str" cm="1">
        <f t="array" ref="K11">_xlfn.IFS(I11 &gt;= 90,"A",I11 &gt;= 80,"B",I11 &gt;= 70,"C",I11 &gt;= 60,"D",I11 &lt; 60,"F")</f>
        <v>B</v>
      </c>
      <c r="L11" t="str">
        <f t="shared" si="2"/>
        <v>pass</v>
      </c>
    </row>
    <row r="12" spans="1:12">
      <c r="A12" s="1">
        <v>8</v>
      </c>
      <c r="B12" s="1" t="s">
        <v>22</v>
      </c>
      <c r="C12" s="1">
        <v>72</v>
      </c>
      <c r="D12" s="1">
        <v>83</v>
      </c>
      <c r="E12" s="1">
        <v>62</v>
      </c>
      <c r="F12" s="2">
        <v>67</v>
      </c>
      <c r="G12" s="1">
        <v>82</v>
      </c>
      <c r="H12" s="1">
        <f t="shared" si="0"/>
        <v>73.2</v>
      </c>
      <c r="I12" s="1">
        <v>88</v>
      </c>
      <c r="J12" s="5">
        <f t="shared" si="1"/>
        <v>80.599999999999994</v>
      </c>
      <c r="K12" s="6" t="str" cm="1">
        <f t="array" ref="K12">_xlfn.IFS(I12 &gt;= 90,"A",I12 &gt;= 80,"B",I12 &gt;= 70,"C",I12 &gt;= 60,"D",I12 &lt; 60,"F")</f>
        <v>B</v>
      </c>
      <c r="L12" t="str">
        <f t="shared" si="2"/>
        <v>pass</v>
      </c>
    </row>
    <row r="13" spans="1:12">
      <c r="A13" s="1">
        <v>12</v>
      </c>
      <c r="B13" s="1" t="s">
        <v>23</v>
      </c>
      <c r="C13" s="1">
        <v>72</v>
      </c>
      <c r="D13" s="1">
        <v>35</v>
      </c>
      <c r="E13" s="1">
        <v>34</v>
      </c>
      <c r="F13" s="1">
        <v>97</v>
      </c>
      <c r="G13" s="1">
        <v>92</v>
      </c>
      <c r="H13" s="1">
        <f t="shared" si="0"/>
        <v>66</v>
      </c>
      <c r="I13" s="1">
        <v>52</v>
      </c>
      <c r="J13" s="5">
        <f t="shared" si="1"/>
        <v>59</v>
      </c>
      <c r="K13" s="6" t="str" cm="1">
        <f t="array" ref="K13">_xlfn.IFS(I13 &gt;= 90,"A",I13 &gt;= 80,"B",I13 &gt;= 70,"C",I13 &gt;= 60,"D",I13 &lt; 60,"F")</f>
        <v>F</v>
      </c>
      <c r="L13" t="str">
        <f t="shared" si="2"/>
        <v>fail</v>
      </c>
    </row>
    <row r="14" spans="1:12">
      <c r="A14" s="1">
        <v>11</v>
      </c>
      <c r="B14" s="1" t="s">
        <v>24</v>
      </c>
      <c r="C14" s="1">
        <v>81</v>
      </c>
      <c r="D14" s="1">
        <v>55</v>
      </c>
      <c r="E14" s="1">
        <v>62</v>
      </c>
      <c r="F14" s="1">
        <v>47</v>
      </c>
      <c r="G14" s="1">
        <v>79</v>
      </c>
      <c r="H14" s="1">
        <f t="shared" si="0"/>
        <v>64.8</v>
      </c>
      <c r="I14" s="1">
        <v>69</v>
      </c>
      <c r="J14" s="5">
        <f t="shared" si="1"/>
        <v>66.900000000000006</v>
      </c>
      <c r="K14" s="6" t="str" cm="1">
        <f t="array" ref="K14">_xlfn.IFS(I14 &gt;= 90,"A",I14 &gt;= 80,"B",I14 &gt;= 70,"C",I14 &gt;= 60,"D",I14 &lt; 60,"F")</f>
        <v>D</v>
      </c>
      <c r="L14" t="str">
        <f t="shared" si="2"/>
        <v>pass</v>
      </c>
    </row>
    <row r="15" spans="1:12">
      <c r="A15" s="1">
        <v>14</v>
      </c>
      <c r="B15" s="1" t="s">
        <v>25</v>
      </c>
      <c r="C15" s="1">
        <v>59</v>
      </c>
      <c r="D15" s="1">
        <v>77</v>
      </c>
      <c r="E15" s="1">
        <v>71</v>
      </c>
      <c r="F15" s="1">
        <v>45</v>
      </c>
      <c r="G15" s="1">
        <v>34</v>
      </c>
      <c r="H15" s="1">
        <f t="shared" si="0"/>
        <v>57.2</v>
      </c>
      <c r="I15" s="1">
        <v>54</v>
      </c>
      <c r="J15" s="5">
        <f t="shared" si="1"/>
        <v>55.6</v>
      </c>
      <c r="K15" s="6" t="str" cm="1">
        <f t="array" ref="K15">_xlfn.IFS(I15 &gt;= 90,"A",I15 &gt;= 80,"B",I15 &gt;= 70,"C",I15 &gt;= 60,"D",I15 &lt; 60,"F")</f>
        <v>F</v>
      </c>
      <c r="L15" t="str">
        <f t="shared" si="2"/>
        <v>fail</v>
      </c>
    </row>
    <row r="16" spans="1:12">
      <c r="C16" s="4" t="s">
        <v>26</v>
      </c>
      <c r="D16" s="4" t="s">
        <v>27</v>
      </c>
      <c r="H16" s="4" t="s">
        <v>28</v>
      </c>
      <c r="J16" s="4" t="s">
        <v>29</v>
      </c>
      <c r="L16" s="4" t="s">
        <v>30</v>
      </c>
    </row>
    <row r="17" spans="3:12" ht="15" customHeight="1">
      <c r="C17" s="6">
        <f>MAX(C2:C15)</f>
        <v>98</v>
      </c>
      <c r="D17" s="6">
        <f>LARGE(D2:D15,2)</f>
        <v>92</v>
      </c>
      <c r="H17" s="6">
        <f>COUNTIF(H2:H15,"&lt;80")</f>
        <v>8</v>
      </c>
      <c r="J17" s="6">
        <f>AVERAGE(J2:J15)</f>
        <v>76.871428571428581</v>
      </c>
      <c r="K17" s="6" t="s">
        <v>31</v>
      </c>
      <c r="L17" s="6">
        <f>COUNTIF(L2:L15,"pass")</f>
        <v>12</v>
      </c>
    </row>
    <row r="18" spans="3:12" ht="15" customHeight="1">
      <c r="K18" s="6" t="s">
        <v>32</v>
      </c>
      <c r="L18" s="6">
        <f>COUNTIF(L2:L15,"fail")</f>
        <v>2</v>
      </c>
    </row>
    <row r="19" spans="3:12" ht="15" customHeight="1">
      <c r="K19" s="6"/>
    </row>
    <row r="24" spans="3:12">
      <c r="J24" s="4" t="s">
        <v>33</v>
      </c>
    </row>
  </sheetData>
  <phoneticPr fontId="2" type="noConversion"/>
  <conditionalFormatting sqref="L2:L15">
    <cfRule type="cellIs" dxfId="1" priority="2" operator="equal">
      <formula>"pass"</formula>
    </cfRule>
  </conditionalFormatting>
  <conditionalFormatting sqref="L2:L15">
    <cfRule type="cellIs" dxfId="0" priority="1" operator="equal">
      <formula>"fail"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芷嫺 簡</dc:creator>
  <cp:keywords/>
  <dc:description/>
  <cp:lastModifiedBy>曼芸 翁</cp:lastModifiedBy>
  <cp:revision/>
  <dcterms:created xsi:type="dcterms:W3CDTF">2023-10-19T05:27:10Z</dcterms:created>
  <dcterms:modified xsi:type="dcterms:W3CDTF">2025-10-04T13:39:22Z</dcterms:modified>
  <cp:category/>
  <cp:contentStatus/>
</cp:coreProperties>
</file>